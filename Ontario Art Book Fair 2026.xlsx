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<sst xmlns="http://schemas.openxmlformats.org/spreadsheetml/2006/main" count="46" uniqueCount="46">
  <si>
    <t>Title</t>
  </si>
  <si>
    <t>Price in USD</t>
  </si>
  <si>
    <t>Original stock</t>
  </si>
  <si>
    <t>原价销售总数</t>
  </si>
  <si>
    <t>原价销售总额</t>
  </si>
  <si>
    <t>Books sold to bookstores/volunteers</t>
  </si>
  <si>
    <t>Price with 30% off</t>
  </si>
  <si>
    <t>折扣销售总额</t>
  </si>
  <si>
    <t>Final stocks</t>
  </si>
  <si>
    <t>TOTAL sold</t>
  </si>
  <si>
    <t>Notes</t>
  </si>
  <si>
    <t>Three Stories</t>
  </si>
  <si>
    <t>51人：第十一届上海双年展项目</t>
  </si>
  <si>
    <t>The Village of Proof 证据村</t>
  </si>
  <si>
    <t>Blue Jean Pocket Writers Handbook</t>
  </si>
  <si>
    <t>51 Personae: Tarwewijk</t>
  </si>
  <si>
    <t>Seed of Memory</t>
  </si>
  <si>
    <t>温州记 Journey to Wenzhou</t>
  </si>
  <si>
    <t>墙洞 Hole in the Wall</t>
  </si>
  <si>
    <t>卡拉什尼科夫 Kalashnikov</t>
  </si>
  <si>
    <t>飞鸟与工厂</t>
  </si>
  <si>
    <t>51摊 51 Tan (a set of three)</t>
  </si>
  <si>
    <t>Stand With Her woodcut journal</t>
  </si>
  <si>
    <t>Deep Simulator 深渊模拟器</t>
  </si>
  <si>
    <t>Beijing Underground</t>
  </si>
  <si>
    <t>无苦无忧 No Misery</t>
  </si>
  <si>
    <t>Working Class History 2026 挂历</t>
  </si>
  <si>
    <t>亚际木刻版画Inter Asia Woodcut Mapping 第四期</t>
  </si>
  <si>
    <t>飞鸟与工厂 版画一套12张</t>
  </si>
  <si>
    <t>洋槐树下的学堂</t>
  </si>
  <si>
    <t>别处的月光</t>
  </si>
  <si>
    <t>旅行者的欲望</t>
  </si>
  <si>
    <t>马来素描</t>
  </si>
  <si>
    <t>碧曲口述</t>
  </si>
  <si>
    <t>A3BC</t>
  </si>
  <si>
    <t>利雅得七天</t>
  </si>
  <si>
    <t>口袋里有个红街市</t>
  </si>
  <si>
    <t>每日的工人阶级史</t>
  </si>
  <si>
    <t>新加坡华族木偶戏</t>
  </si>
  <si>
    <t>艺术档案（库）的可能与不可能</t>
  </si>
  <si>
    <t>第十一号</t>
  </si>
  <si>
    <t>Books sold:</t>
  </si>
  <si>
    <t>Earned in USD</t>
  </si>
  <si>
    <t>In total sold:</t>
  </si>
  <si>
    <t>Reimbursement (travel, food&amp;beverage, shipping etc.)</t>
  </si>
  <si>
    <t>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</si>
</sst>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sz val="8.0"/>
      <color theme="1"/>
      <name val="Times New Roman"/>
    </font>
    <font>
      <color theme="1"/>
      <name val="Times New Roman"/>
    </font>
    <font>
      <sz val="9.0"/>
      <color theme="1"/>
      <name val="Times New Roman"/>
    </font>
    <font>
      <color theme="1"/>
      <name val="Arial"/>
    </font>
    <font>
      <b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ont="1">
      <alignment vertical="bottom"/>
    </xf>
    <xf borderId="1" fillId="5" fontId="1" numFmtId="0" xfId="0" applyAlignment="1" applyBorder="1" applyFill="1" applyFont="1">
      <alignment readingOrder="0" shrinkToFit="0" vertical="top" wrapText="1"/>
    </xf>
    <xf borderId="1" fillId="6" fontId="1" numFmtId="0" xfId="0" applyAlignment="1" applyBorder="1" applyFill="1" applyFont="1">
      <alignment horizontal="center" readingOrder="0" shrinkToFit="0" vertical="top" wrapText="1"/>
    </xf>
    <xf borderId="1" fillId="7" fontId="3" numFmtId="0" xfId="0" applyAlignment="1" applyBorder="1" applyFill="1" applyFont="1">
      <alignment horizontal="center" readingOrder="0" shrinkToFit="0" vertical="top" wrapText="1"/>
    </xf>
    <xf borderId="1" fillId="8" fontId="2" numFmtId="0" xfId="0" applyAlignment="1" applyBorder="1" applyFill="1" applyFont="1">
      <alignment readingOrder="0" vertical="top"/>
    </xf>
    <xf borderId="1" fillId="9" fontId="3" numFmtId="0" xfId="0" applyAlignment="1" applyBorder="1" applyFill="1" applyFont="1">
      <alignment horizontal="center" shrinkToFit="0" vertical="top" wrapText="1"/>
    </xf>
    <xf borderId="1" fillId="10" fontId="2" numFmtId="0" xfId="0" applyAlignment="1" applyBorder="1" applyFill="1" applyFont="1">
      <alignment readingOrder="0" vertical="top"/>
    </xf>
    <xf borderId="1" fillId="10" fontId="3" numFmtId="0" xfId="0" applyAlignment="1" applyBorder="1" applyFont="1">
      <alignment horizontal="center" shrinkToFit="0" vertical="top" wrapText="1"/>
    </xf>
    <xf borderId="1" fillId="10" fontId="3" numFmtId="0" xfId="0" applyAlignment="1" applyBorder="1" applyFont="1">
      <alignment horizontal="center" readingOrder="0" shrinkToFit="0" vertical="top" wrapText="1"/>
    </xf>
    <xf borderId="1" fillId="11" fontId="3" numFmtId="0" xfId="0" applyAlignment="1" applyBorder="1" applyFill="1" applyFont="1">
      <alignment horizontal="center" shrinkToFit="0" vertical="top" wrapText="1"/>
    </xf>
    <xf borderId="1" fillId="8" fontId="2" numFmtId="0" xfId="0" applyAlignment="1" applyBorder="1" applyFont="1">
      <alignment vertical="top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5" fontId="1" numFmtId="0" xfId="0" applyAlignment="1" applyBorder="1" applyFont="1">
      <alignment shrinkToFit="0" vertical="top" wrapText="1"/>
    </xf>
    <xf borderId="1" fillId="9" fontId="3" numFmtId="0" xfId="0" applyAlignment="1" applyBorder="1" applyFont="1">
      <alignment horizontal="center" readingOrder="0" shrinkToFit="0" vertical="top" wrapText="1"/>
    </xf>
    <xf borderId="1" fillId="10" fontId="2" numFmtId="0" xfId="0" applyAlignment="1" applyBorder="1" applyFont="1">
      <alignment vertical="top"/>
    </xf>
    <xf borderId="1" fillId="8" fontId="5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shrinkToFit="0" vertical="bottom" wrapText="1"/>
    </xf>
    <xf borderId="1" fillId="6" fontId="1" numFmtId="0" xfId="0" applyAlignment="1" applyBorder="1" applyFont="1">
      <alignment horizontal="center" readingOrder="0" shrinkToFit="0" vertical="bottom" wrapText="1"/>
    </xf>
    <xf borderId="1" fillId="7" fontId="3" numFmtId="0" xfId="0" applyAlignment="1" applyBorder="1" applyFont="1">
      <alignment horizontal="center" readingOrder="0" shrinkToFit="0" vertical="bottom" wrapText="1"/>
    </xf>
    <xf borderId="1" fillId="10" fontId="2" numFmtId="0" xfId="0" applyAlignment="1" applyBorder="1" applyFont="1">
      <alignment readingOrder="0" vertical="bottom"/>
    </xf>
    <xf borderId="1" fillId="5" fontId="1" numFmtId="0" xfId="0" applyAlignment="1" applyBorder="1" applyFont="1">
      <alignment shrinkToFit="0" vertical="bottom" wrapText="1"/>
    </xf>
    <xf borderId="1" fillId="10" fontId="2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1" fillId="12" fontId="2" numFmtId="0" xfId="0" applyAlignment="1" applyBorder="1" applyFill="1" applyFont="1">
      <alignment readingOrder="0" vertical="bottom"/>
    </xf>
    <xf borderId="1" fillId="12" fontId="2" numFmtId="0" xfId="0" applyAlignment="1" applyBorder="1" applyFont="1">
      <alignment vertical="bottom"/>
    </xf>
    <xf borderId="1" fillId="12" fontId="2" numFmtId="0" xfId="0" applyAlignment="1" applyBorder="1" applyFont="1">
      <alignment horizontal="center" vertical="bottom"/>
    </xf>
    <xf borderId="2" fillId="12" fontId="2" numFmtId="0" xfId="0" applyAlignment="1" applyBorder="1" applyFont="1">
      <alignment vertical="bottom"/>
    </xf>
    <xf borderId="3" fillId="12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1" fillId="13" fontId="2" numFmtId="0" xfId="0" applyAlignment="1" applyBorder="1" applyFill="1" applyFont="1">
      <alignment vertical="bottom"/>
    </xf>
    <xf borderId="1" fillId="13" fontId="2" numFmtId="0" xfId="0" applyAlignment="1" applyBorder="1" applyFont="1">
      <alignment horizontal="center" vertical="bottom"/>
    </xf>
    <xf borderId="0" fillId="14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88"/>
  </cols>
  <sheetData>
    <row r="1">
      <c r="A1" s="1" t="s">
        <v>0</v>
      </c>
      <c r="B1" s="2" t="s">
        <v>1</v>
      </c>
      <c r="C1" s="3" t="s">
        <v>2</v>
      </c>
      <c r="D1" s="4">
        <v>46109.0</v>
      </c>
      <c r="E1" s="2" t="s">
        <v>3</v>
      </c>
      <c r="F1" s="2" t="s">
        <v>4</v>
      </c>
      <c r="G1" s="5" t="s">
        <v>5</v>
      </c>
      <c r="H1" s="6" t="s">
        <v>6</v>
      </c>
      <c r="I1" s="5" t="s">
        <v>7</v>
      </c>
      <c r="J1" s="7" t="s">
        <v>8</v>
      </c>
      <c r="K1" s="3" t="s">
        <v>9</v>
      </c>
      <c r="L1" s="8" t="s">
        <v>10</v>
      </c>
    </row>
    <row r="2">
      <c r="A2" s="9" t="s">
        <v>11</v>
      </c>
      <c r="B2" s="10">
        <v>22.0</v>
      </c>
      <c r="C2" s="11">
        <v>6.0</v>
      </c>
      <c r="D2" s="12"/>
      <c r="E2" s="13"/>
      <c r="F2" s="13">
        <f t="shared" ref="F2:F17" si="1">D2*B2</f>
        <v>0</v>
      </c>
      <c r="G2" s="14"/>
      <c r="H2" s="15">
        <f t="shared" ref="H2:H17" si="2">B2*0.7</f>
        <v>15.4</v>
      </c>
      <c r="I2" s="16">
        <f t="shared" ref="I2:I17" si="3">G2*H2</f>
        <v>0</v>
      </c>
      <c r="J2" s="17">
        <f t="shared" ref="J2:J15" si="4">C2-D2-G2</f>
        <v>6</v>
      </c>
      <c r="K2" s="18">
        <f>F2+I2</f>
        <v>0</v>
      </c>
      <c r="L2" s="19"/>
    </row>
    <row r="3">
      <c r="A3" s="9" t="s">
        <v>12</v>
      </c>
      <c r="B3" s="10">
        <v>16.0</v>
      </c>
      <c r="C3" s="11"/>
      <c r="D3" s="12"/>
      <c r="E3" s="13"/>
      <c r="F3" s="13">
        <f t="shared" si="1"/>
        <v>0</v>
      </c>
      <c r="G3" s="14"/>
      <c r="H3" s="15">
        <f t="shared" si="2"/>
        <v>11.2</v>
      </c>
      <c r="I3" s="16">
        <f t="shared" si="3"/>
        <v>0</v>
      </c>
      <c r="J3" s="17">
        <f t="shared" si="4"/>
        <v>0</v>
      </c>
      <c r="K3" s="18"/>
      <c r="L3" s="19"/>
    </row>
    <row r="4">
      <c r="A4" s="9" t="s">
        <v>13</v>
      </c>
      <c r="B4" s="10">
        <v>15.0</v>
      </c>
      <c r="C4" s="11"/>
      <c r="D4" s="12"/>
      <c r="E4" s="13"/>
      <c r="F4" s="13">
        <f t="shared" si="1"/>
        <v>0</v>
      </c>
      <c r="G4" s="14"/>
      <c r="H4" s="15">
        <f t="shared" si="2"/>
        <v>10.5</v>
      </c>
      <c r="I4" s="16">
        <f t="shared" si="3"/>
        <v>0</v>
      </c>
      <c r="J4" s="17">
        <f t="shared" si="4"/>
        <v>0</v>
      </c>
      <c r="K4" s="18">
        <f t="shared" ref="K4:K15" si="5">F4+I4</f>
        <v>0</v>
      </c>
      <c r="L4" s="20"/>
    </row>
    <row r="5">
      <c r="A5" s="9" t="s">
        <v>14</v>
      </c>
      <c r="B5" s="10">
        <v>6.0</v>
      </c>
      <c r="C5" s="11"/>
      <c r="D5" s="12"/>
      <c r="E5" s="13"/>
      <c r="F5" s="13">
        <f t="shared" si="1"/>
        <v>0</v>
      </c>
      <c r="G5" s="14"/>
      <c r="H5" s="15">
        <f t="shared" si="2"/>
        <v>4.2</v>
      </c>
      <c r="I5" s="16">
        <f t="shared" si="3"/>
        <v>0</v>
      </c>
      <c r="J5" s="17">
        <f t="shared" si="4"/>
        <v>0</v>
      </c>
      <c r="K5" s="18">
        <f t="shared" si="5"/>
        <v>0</v>
      </c>
      <c r="L5" s="20"/>
    </row>
    <row r="6">
      <c r="A6" s="9" t="s">
        <v>15</v>
      </c>
      <c r="B6" s="10">
        <v>22.0</v>
      </c>
      <c r="C6" s="11">
        <v>4.0</v>
      </c>
      <c r="D6" s="12"/>
      <c r="E6" s="13"/>
      <c r="F6" s="13">
        <f t="shared" si="1"/>
        <v>0</v>
      </c>
      <c r="G6" s="14"/>
      <c r="H6" s="15">
        <f t="shared" si="2"/>
        <v>15.4</v>
      </c>
      <c r="I6" s="16">
        <f t="shared" si="3"/>
        <v>0</v>
      </c>
      <c r="J6" s="17">
        <f t="shared" si="4"/>
        <v>4</v>
      </c>
      <c r="K6" s="18">
        <f t="shared" si="5"/>
        <v>0</v>
      </c>
      <c r="L6" s="20"/>
    </row>
    <row r="7">
      <c r="A7" s="21" t="s">
        <v>16</v>
      </c>
      <c r="B7" s="10">
        <v>20.0</v>
      </c>
      <c r="C7" s="11">
        <v>6.0</v>
      </c>
      <c r="D7" s="12"/>
      <c r="E7" s="22"/>
      <c r="F7" s="13">
        <f t="shared" si="1"/>
        <v>0</v>
      </c>
      <c r="G7" s="14"/>
      <c r="H7" s="15">
        <f t="shared" si="2"/>
        <v>14</v>
      </c>
      <c r="I7" s="16">
        <f t="shared" si="3"/>
        <v>0</v>
      </c>
      <c r="J7" s="17">
        <f t="shared" si="4"/>
        <v>6</v>
      </c>
      <c r="K7" s="18">
        <f t="shared" si="5"/>
        <v>0</v>
      </c>
      <c r="L7" s="20"/>
    </row>
    <row r="8">
      <c r="A8" s="9" t="s">
        <v>17</v>
      </c>
      <c r="B8" s="10">
        <v>17.0</v>
      </c>
      <c r="C8" s="11">
        <v>5.0</v>
      </c>
      <c r="D8" s="12"/>
      <c r="E8" s="13"/>
      <c r="F8" s="13">
        <f t="shared" si="1"/>
        <v>0</v>
      </c>
      <c r="G8" s="23"/>
      <c r="H8" s="15">
        <f t="shared" si="2"/>
        <v>11.9</v>
      </c>
      <c r="I8" s="16">
        <f t="shared" si="3"/>
        <v>0</v>
      </c>
      <c r="J8" s="17">
        <f t="shared" si="4"/>
        <v>5</v>
      </c>
      <c r="K8" s="18">
        <f t="shared" si="5"/>
        <v>0</v>
      </c>
      <c r="L8" s="20"/>
    </row>
    <row r="9">
      <c r="A9" s="9" t="s">
        <v>18</v>
      </c>
      <c r="B9" s="10">
        <v>12.0</v>
      </c>
      <c r="C9" s="11">
        <v>6.0</v>
      </c>
      <c r="D9" s="12"/>
      <c r="E9" s="22"/>
      <c r="F9" s="13">
        <f t="shared" si="1"/>
        <v>0</v>
      </c>
      <c r="G9" s="14"/>
      <c r="H9" s="15">
        <f t="shared" si="2"/>
        <v>8.4</v>
      </c>
      <c r="I9" s="16">
        <f t="shared" si="3"/>
        <v>0</v>
      </c>
      <c r="J9" s="17">
        <f t="shared" si="4"/>
        <v>6</v>
      </c>
      <c r="K9" s="18">
        <f t="shared" si="5"/>
        <v>0</v>
      </c>
      <c r="L9" s="20"/>
    </row>
    <row r="10">
      <c r="A10" s="9" t="s">
        <v>19</v>
      </c>
      <c r="B10" s="10">
        <v>22.0</v>
      </c>
      <c r="C10" s="11">
        <v>5.0</v>
      </c>
      <c r="D10" s="24"/>
      <c r="E10" s="13"/>
      <c r="F10" s="13">
        <f t="shared" si="1"/>
        <v>0</v>
      </c>
      <c r="G10" s="14"/>
      <c r="H10" s="15">
        <f t="shared" si="2"/>
        <v>15.4</v>
      </c>
      <c r="I10" s="16">
        <f t="shared" si="3"/>
        <v>0</v>
      </c>
      <c r="J10" s="17">
        <f t="shared" si="4"/>
        <v>5</v>
      </c>
      <c r="K10" s="18">
        <f t="shared" si="5"/>
        <v>0</v>
      </c>
      <c r="L10" s="20"/>
    </row>
    <row r="11">
      <c r="A11" s="9" t="s">
        <v>20</v>
      </c>
      <c r="B11" s="10">
        <v>25.0</v>
      </c>
      <c r="C11" s="11"/>
      <c r="D11" s="12"/>
      <c r="E11" s="13"/>
      <c r="F11" s="13">
        <f t="shared" si="1"/>
        <v>0</v>
      </c>
      <c r="G11" s="23"/>
      <c r="H11" s="15">
        <f t="shared" si="2"/>
        <v>17.5</v>
      </c>
      <c r="I11" s="16">
        <f t="shared" si="3"/>
        <v>0</v>
      </c>
      <c r="J11" s="17">
        <f t="shared" si="4"/>
        <v>0</v>
      </c>
      <c r="K11" s="18">
        <f t="shared" si="5"/>
        <v>0</v>
      </c>
      <c r="L11" s="20"/>
    </row>
    <row r="12">
      <c r="A12" s="9" t="s">
        <v>21</v>
      </c>
      <c r="B12" s="10">
        <v>22.0</v>
      </c>
      <c r="C12" s="11">
        <v>5.0</v>
      </c>
      <c r="D12" s="12"/>
      <c r="E12" s="13"/>
      <c r="F12" s="13">
        <f t="shared" si="1"/>
        <v>0</v>
      </c>
      <c r="G12" s="23"/>
      <c r="H12" s="15">
        <f t="shared" si="2"/>
        <v>15.4</v>
      </c>
      <c r="I12" s="16">
        <f t="shared" si="3"/>
        <v>0</v>
      </c>
      <c r="J12" s="17">
        <f t="shared" si="4"/>
        <v>5</v>
      </c>
      <c r="K12" s="18">
        <f t="shared" si="5"/>
        <v>0</v>
      </c>
      <c r="L12" s="20"/>
    </row>
    <row r="13">
      <c r="A13" s="21" t="s">
        <v>22</v>
      </c>
      <c r="B13" s="10">
        <v>12.0</v>
      </c>
      <c r="C13" s="11"/>
      <c r="D13" s="12"/>
      <c r="E13" s="13"/>
      <c r="F13" s="13">
        <f t="shared" si="1"/>
        <v>0</v>
      </c>
      <c r="G13" s="23"/>
      <c r="H13" s="15">
        <f t="shared" si="2"/>
        <v>8.4</v>
      </c>
      <c r="I13" s="16">
        <f t="shared" si="3"/>
        <v>0</v>
      </c>
      <c r="J13" s="17">
        <f t="shared" si="4"/>
        <v>0</v>
      </c>
      <c r="K13" s="18">
        <f t="shared" si="5"/>
        <v>0</v>
      </c>
      <c r="L13" s="20"/>
    </row>
    <row r="14">
      <c r="A14" s="9" t="s">
        <v>23</v>
      </c>
      <c r="B14" s="10">
        <v>26.0</v>
      </c>
      <c r="C14" s="11">
        <v>4.0</v>
      </c>
      <c r="D14" s="25"/>
      <c r="E14" s="22"/>
      <c r="F14" s="13">
        <f t="shared" si="1"/>
        <v>0</v>
      </c>
      <c r="G14" s="23"/>
      <c r="H14" s="15">
        <f t="shared" si="2"/>
        <v>18.2</v>
      </c>
      <c r="I14" s="16">
        <f t="shared" si="3"/>
        <v>0</v>
      </c>
      <c r="J14" s="17">
        <f t="shared" si="4"/>
        <v>4</v>
      </c>
      <c r="K14" s="18">
        <f t="shared" si="5"/>
        <v>0</v>
      </c>
      <c r="L14" s="20"/>
    </row>
    <row r="15">
      <c r="A15" s="26" t="s">
        <v>24</v>
      </c>
      <c r="B15" s="27">
        <v>15.0</v>
      </c>
      <c r="C15" s="28">
        <v>6.0</v>
      </c>
      <c r="D15" s="25"/>
      <c r="E15" s="22"/>
      <c r="F15" s="13">
        <f t="shared" si="1"/>
        <v>0</v>
      </c>
      <c r="G15" s="29"/>
      <c r="H15" s="15">
        <f t="shared" si="2"/>
        <v>10.5</v>
      </c>
      <c r="I15" s="16">
        <f t="shared" si="3"/>
        <v>0</v>
      </c>
      <c r="J15" s="17">
        <f t="shared" si="4"/>
        <v>6</v>
      </c>
      <c r="K15" s="18">
        <f t="shared" si="5"/>
        <v>0</v>
      </c>
      <c r="L15" s="20"/>
    </row>
    <row r="16">
      <c r="A16" s="26" t="s">
        <v>25</v>
      </c>
      <c r="B16" s="27">
        <v>42.0</v>
      </c>
      <c r="C16" s="28"/>
      <c r="D16" s="25"/>
      <c r="E16" s="22"/>
      <c r="F16" s="13">
        <f t="shared" si="1"/>
        <v>0</v>
      </c>
      <c r="G16" s="29"/>
      <c r="H16" s="15">
        <f t="shared" si="2"/>
        <v>29.4</v>
      </c>
      <c r="I16" s="16">
        <f t="shared" si="3"/>
        <v>0</v>
      </c>
      <c r="J16" s="17"/>
      <c r="K16" s="18"/>
      <c r="L16" s="20"/>
    </row>
    <row r="17">
      <c r="A17" s="26" t="s">
        <v>26</v>
      </c>
      <c r="B17" s="27">
        <v>12.0</v>
      </c>
      <c r="C17" s="28"/>
      <c r="D17" s="19"/>
      <c r="E17" s="13"/>
      <c r="F17" s="13">
        <f t="shared" si="1"/>
        <v>0</v>
      </c>
      <c r="G17" s="29"/>
      <c r="H17" s="15">
        <f t="shared" si="2"/>
        <v>8.4</v>
      </c>
      <c r="I17" s="16">
        <f t="shared" si="3"/>
        <v>0</v>
      </c>
      <c r="J17" s="17">
        <f>C17-D17-G17</f>
        <v>0</v>
      </c>
      <c r="K17" s="18">
        <f>F17+I17</f>
        <v>0</v>
      </c>
      <c r="L17" s="20"/>
    </row>
    <row r="18">
      <c r="A18" s="26" t="s">
        <v>27</v>
      </c>
      <c r="B18" s="27">
        <v>20.0</v>
      </c>
      <c r="C18" s="28"/>
      <c r="D18" s="25"/>
      <c r="E18" s="22"/>
      <c r="F18" s="13"/>
      <c r="G18" s="29"/>
      <c r="H18" s="15"/>
      <c r="I18" s="16"/>
      <c r="J18" s="17"/>
      <c r="K18" s="18"/>
      <c r="L18" s="20"/>
    </row>
    <row r="19">
      <c r="A19" s="26" t="s">
        <v>28</v>
      </c>
      <c r="B19" s="27">
        <v>9.0</v>
      </c>
      <c r="C19" s="28"/>
      <c r="D19" s="25"/>
      <c r="E19" s="22"/>
      <c r="F19" s="13">
        <f t="shared" ref="F19:F31" si="6">D19*B19</f>
        <v>0</v>
      </c>
      <c r="G19" s="29"/>
      <c r="H19" s="15">
        <f t="shared" ref="H19:H31" si="7">B19*0.7</f>
        <v>6.3</v>
      </c>
      <c r="I19" s="16">
        <f t="shared" ref="I19:I31" si="8">G19*H19</f>
        <v>0</v>
      </c>
      <c r="J19" s="17">
        <f t="shared" ref="J19:J31" si="9">C19-D19-G19</f>
        <v>0</v>
      </c>
      <c r="K19" s="18">
        <f t="shared" ref="K19:K25" si="10">F19+I19</f>
        <v>0</v>
      </c>
      <c r="L19" s="20"/>
    </row>
    <row r="20">
      <c r="A20" s="30" t="s">
        <v>29</v>
      </c>
      <c r="B20" s="27">
        <v>23.0</v>
      </c>
      <c r="C20" s="28">
        <v>3.0</v>
      </c>
      <c r="D20" s="19"/>
      <c r="E20" s="13"/>
      <c r="F20" s="13">
        <f t="shared" si="6"/>
        <v>0</v>
      </c>
      <c r="G20" s="29"/>
      <c r="H20" s="15">
        <f t="shared" si="7"/>
        <v>16.1</v>
      </c>
      <c r="I20" s="16">
        <f t="shared" si="8"/>
        <v>0</v>
      </c>
      <c r="J20" s="17">
        <f t="shared" si="9"/>
        <v>3</v>
      </c>
      <c r="K20" s="18">
        <f t="shared" si="10"/>
        <v>0</v>
      </c>
      <c r="L20" s="20"/>
    </row>
    <row r="21">
      <c r="A21" s="30" t="s">
        <v>30</v>
      </c>
      <c r="B21" s="27">
        <v>22.0</v>
      </c>
      <c r="C21" s="28">
        <v>2.0</v>
      </c>
      <c r="D21" s="19"/>
      <c r="E21" s="13"/>
      <c r="F21" s="13">
        <f t="shared" si="6"/>
        <v>0</v>
      </c>
      <c r="G21" s="31"/>
      <c r="H21" s="15">
        <f t="shared" si="7"/>
        <v>15.4</v>
      </c>
      <c r="I21" s="16">
        <f t="shared" si="8"/>
        <v>0</v>
      </c>
      <c r="J21" s="17">
        <f t="shared" si="9"/>
        <v>2</v>
      </c>
      <c r="K21" s="18">
        <f t="shared" si="10"/>
        <v>0</v>
      </c>
      <c r="L21" s="20"/>
    </row>
    <row r="22">
      <c r="A22" s="30" t="s">
        <v>31</v>
      </c>
      <c r="B22" s="27">
        <v>18.0</v>
      </c>
      <c r="C22" s="28"/>
      <c r="D22" s="32"/>
      <c r="E22" s="13"/>
      <c r="F22" s="13">
        <f t="shared" si="6"/>
        <v>0</v>
      </c>
      <c r="G22" s="29"/>
      <c r="H22" s="15">
        <f t="shared" si="7"/>
        <v>12.6</v>
      </c>
      <c r="I22" s="16">
        <f t="shared" si="8"/>
        <v>0</v>
      </c>
      <c r="J22" s="17">
        <f t="shared" si="9"/>
        <v>0</v>
      </c>
      <c r="K22" s="18">
        <f t="shared" si="10"/>
        <v>0</v>
      </c>
      <c r="L22" s="20"/>
    </row>
    <row r="23">
      <c r="A23" s="30" t="s">
        <v>32</v>
      </c>
      <c r="B23" s="27">
        <v>23.0</v>
      </c>
      <c r="C23" s="28">
        <v>2.0</v>
      </c>
      <c r="D23" s="25"/>
      <c r="E23" s="13"/>
      <c r="F23" s="13">
        <f t="shared" si="6"/>
        <v>0</v>
      </c>
      <c r="G23" s="29"/>
      <c r="H23" s="15">
        <f t="shared" si="7"/>
        <v>16.1</v>
      </c>
      <c r="I23" s="16">
        <f t="shared" si="8"/>
        <v>0</v>
      </c>
      <c r="J23" s="17">
        <f t="shared" si="9"/>
        <v>2</v>
      </c>
      <c r="K23" s="18">
        <f t="shared" si="10"/>
        <v>0</v>
      </c>
      <c r="L23" s="20"/>
    </row>
    <row r="24">
      <c r="A24" s="26" t="s">
        <v>33</v>
      </c>
      <c r="B24" s="27">
        <v>13.0</v>
      </c>
      <c r="C24" s="28"/>
      <c r="D24" s="19"/>
      <c r="E24" s="13"/>
      <c r="F24" s="13">
        <f t="shared" si="6"/>
        <v>0</v>
      </c>
      <c r="G24" s="31"/>
      <c r="H24" s="15">
        <f t="shared" si="7"/>
        <v>9.1</v>
      </c>
      <c r="I24" s="16">
        <f t="shared" si="8"/>
        <v>0</v>
      </c>
      <c r="J24" s="17">
        <f t="shared" si="9"/>
        <v>0</v>
      </c>
      <c r="K24" s="18">
        <f t="shared" si="10"/>
        <v>0</v>
      </c>
      <c r="L24" s="20"/>
    </row>
    <row r="25">
      <c r="A25" s="26" t="s">
        <v>34</v>
      </c>
      <c r="B25" s="27">
        <v>15.0</v>
      </c>
      <c r="C25" s="28"/>
      <c r="D25" s="19"/>
      <c r="E25" s="13"/>
      <c r="F25" s="13">
        <f t="shared" si="6"/>
        <v>0</v>
      </c>
      <c r="G25" s="31"/>
      <c r="H25" s="15">
        <f t="shared" si="7"/>
        <v>10.5</v>
      </c>
      <c r="I25" s="16">
        <f t="shared" si="8"/>
        <v>0</v>
      </c>
      <c r="J25" s="17">
        <f t="shared" si="9"/>
        <v>0</v>
      </c>
      <c r="K25" s="18">
        <f t="shared" si="10"/>
        <v>0</v>
      </c>
      <c r="L25" s="20"/>
    </row>
    <row r="26">
      <c r="A26" s="26" t="s">
        <v>35</v>
      </c>
      <c r="B26" s="27">
        <v>10.0</v>
      </c>
      <c r="C26" s="28">
        <v>3.0</v>
      </c>
      <c r="D26" s="25"/>
      <c r="E26" s="13"/>
      <c r="F26" s="13">
        <f t="shared" si="6"/>
        <v>0</v>
      </c>
      <c r="G26" s="29"/>
      <c r="H26" s="15">
        <f t="shared" si="7"/>
        <v>7</v>
      </c>
      <c r="I26" s="16">
        <f t="shared" si="8"/>
        <v>0</v>
      </c>
      <c r="J26" s="17">
        <f t="shared" si="9"/>
        <v>3</v>
      </c>
      <c r="K26" s="18"/>
      <c r="L26" s="20"/>
    </row>
    <row r="27">
      <c r="A27" s="26" t="s">
        <v>36</v>
      </c>
      <c r="B27" s="27">
        <v>12.0</v>
      </c>
      <c r="C27" s="28"/>
      <c r="D27" s="25"/>
      <c r="E27" s="13"/>
      <c r="F27" s="13">
        <f t="shared" si="6"/>
        <v>0</v>
      </c>
      <c r="G27" s="29"/>
      <c r="H27" s="15">
        <f t="shared" si="7"/>
        <v>8.4</v>
      </c>
      <c r="I27" s="16">
        <f t="shared" si="8"/>
        <v>0</v>
      </c>
      <c r="J27" s="17">
        <f t="shared" si="9"/>
        <v>0</v>
      </c>
      <c r="K27" s="18">
        <f t="shared" ref="K27:K30" si="11">F27+I27</f>
        <v>0</v>
      </c>
      <c r="L27" s="20"/>
    </row>
    <row r="28">
      <c r="A28" s="26" t="s">
        <v>37</v>
      </c>
      <c r="B28" s="27">
        <v>22.0</v>
      </c>
      <c r="C28" s="28">
        <v>1.0</v>
      </c>
      <c r="D28" s="25"/>
      <c r="E28" s="22"/>
      <c r="F28" s="13">
        <f t="shared" si="6"/>
        <v>0</v>
      </c>
      <c r="G28" s="31"/>
      <c r="H28" s="15">
        <f t="shared" si="7"/>
        <v>15.4</v>
      </c>
      <c r="I28" s="16">
        <f t="shared" si="8"/>
        <v>0</v>
      </c>
      <c r="J28" s="17">
        <f t="shared" si="9"/>
        <v>1</v>
      </c>
      <c r="K28" s="18">
        <f t="shared" si="11"/>
        <v>0</v>
      </c>
      <c r="L28" s="20"/>
    </row>
    <row r="29">
      <c r="A29" s="26" t="s">
        <v>38</v>
      </c>
      <c r="B29" s="27">
        <v>48.0</v>
      </c>
      <c r="C29" s="28">
        <v>2.0</v>
      </c>
      <c r="D29" s="19"/>
      <c r="E29" s="13"/>
      <c r="F29" s="13">
        <f t="shared" si="6"/>
        <v>0</v>
      </c>
      <c r="G29" s="31"/>
      <c r="H29" s="15">
        <f t="shared" si="7"/>
        <v>33.6</v>
      </c>
      <c r="I29" s="16">
        <f t="shared" si="8"/>
        <v>0</v>
      </c>
      <c r="J29" s="17">
        <f t="shared" si="9"/>
        <v>2</v>
      </c>
      <c r="K29" s="18">
        <f t="shared" si="11"/>
        <v>0</v>
      </c>
      <c r="L29" s="20"/>
    </row>
    <row r="30">
      <c r="A30" s="30" t="s">
        <v>39</v>
      </c>
      <c r="B30" s="27">
        <v>30.0</v>
      </c>
      <c r="C30" s="28">
        <v>3.0</v>
      </c>
      <c r="D30" s="19"/>
      <c r="E30" s="13"/>
      <c r="F30" s="13">
        <f t="shared" si="6"/>
        <v>0</v>
      </c>
      <c r="G30" s="31"/>
      <c r="H30" s="15">
        <f t="shared" si="7"/>
        <v>21</v>
      </c>
      <c r="I30" s="16">
        <f t="shared" si="8"/>
        <v>0</v>
      </c>
      <c r="J30" s="17">
        <f t="shared" si="9"/>
        <v>3</v>
      </c>
      <c r="K30" s="18">
        <f t="shared" si="11"/>
        <v>0</v>
      </c>
      <c r="L30" s="20"/>
    </row>
    <row r="31">
      <c r="A31" s="26" t="s">
        <v>40</v>
      </c>
      <c r="B31" s="27">
        <v>18.0</v>
      </c>
      <c r="C31" s="28">
        <v>2.0</v>
      </c>
      <c r="D31" s="25"/>
      <c r="E31" s="22"/>
      <c r="F31" s="13">
        <f t="shared" si="6"/>
        <v>0</v>
      </c>
      <c r="G31" s="31"/>
      <c r="H31" s="15">
        <f t="shared" si="7"/>
        <v>12.6</v>
      </c>
      <c r="I31" s="16">
        <f t="shared" si="8"/>
        <v>0</v>
      </c>
      <c r="J31" s="17">
        <f t="shared" si="9"/>
        <v>2</v>
      </c>
      <c r="K31" s="18"/>
      <c r="L31" s="20"/>
    </row>
    <row r="32">
      <c r="A32" s="19" t="s">
        <v>41</v>
      </c>
      <c r="B32" s="19"/>
      <c r="C32" s="19"/>
      <c r="D32" s="33">
        <f>SUM(D2:D31)</f>
        <v>0</v>
      </c>
      <c r="E32" s="19"/>
      <c r="F32" s="19"/>
      <c r="G32" s="33">
        <f>SUM(G2:G30)</f>
        <v>0</v>
      </c>
      <c r="H32" s="19"/>
      <c r="I32" s="19"/>
      <c r="J32" s="17">
        <f>SUM(J2:J30)</f>
        <v>63</v>
      </c>
      <c r="K32" s="18"/>
      <c r="L32" s="20"/>
    </row>
    <row r="33">
      <c r="A33" s="34" t="s">
        <v>42</v>
      </c>
      <c r="B33" s="35"/>
      <c r="C33" s="35"/>
      <c r="D33" s="35"/>
      <c r="E33" s="36"/>
      <c r="F33" s="36">
        <f>SUM(F2:F30)</f>
        <v>0</v>
      </c>
      <c r="G33" s="35"/>
      <c r="H33" s="35"/>
      <c r="I33" s="36">
        <f>SUM(I2:I30)</f>
        <v>0</v>
      </c>
      <c r="J33" s="37"/>
      <c r="K33" s="38">
        <f>SUM(K2:K30)</f>
        <v>0</v>
      </c>
      <c r="L33" s="39"/>
    </row>
    <row r="34">
      <c r="A34" s="40" t="s">
        <v>43</v>
      </c>
      <c r="B34" s="41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>
      <c r="A35" s="42" t="s">
        <v>44</v>
      </c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4"/>
    </row>
    <row r="36">
      <c r="A36" s="45" t="s">
        <v>45</v>
      </c>
      <c r="B36" s="45">
        <f>K33-B35</f>
        <v>0</v>
      </c>
      <c r="C36" s="43"/>
      <c r="D36" s="46"/>
      <c r="E36" s="43"/>
      <c r="F36" s="43"/>
      <c r="G36" s="43"/>
      <c r="H36" s="43"/>
      <c r="I36" s="43"/>
      <c r="J36" s="43"/>
      <c r="K36" s="43"/>
      <c r="L36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